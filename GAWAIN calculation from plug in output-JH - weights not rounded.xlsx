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nih-my.sharepoint.com/personal/houjx_nih_gov/Documents/current projects/GAWAIN/manuscript/accepted/post discussion/"/>
    </mc:Choice>
  </mc:AlternateContent>
  <xr:revisionPtr revIDLastSave="8" documentId="11_C0F4883F385FCC03FC342AEFA2D4EBE37AB8A3B5" xr6:coauthVersionLast="47" xr6:coauthVersionMax="47" xr10:uidLastSave="{54E5FD73-AFCC-40D1-8CE0-26FFDA5670A4}"/>
  <bookViews>
    <workbookView xWindow="2835" yWindow="2130" windowWidth="21600" windowHeight="11235" xr2:uid="{00000000-000D-0000-FFFF-FFFF00000000}"/>
  </bookViews>
  <sheets>
    <sheet name="GAWAIN" sheetId="1" r:id="rId1"/>
    <sheet name="low-luminance GAWAIN" sheetId="2" r:id="rId2"/>
    <sheet name="reading performance GAWA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E61" i="1" s="1"/>
  <c r="B3" i="1"/>
  <c r="E3" i="1" s="1"/>
  <c r="B4" i="1"/>
  <c r="B5" i="1"/>
  <c r="B6" i="1"/>
  <c r="E6" i="1" s="1"/>
  <c r="B7" i="1"/>
  <c r="E7" i="1" s="1"/>
  <c r="B8" i="1"/>
  <c r="E8" i="1" s="1"/>
  <c r="B9" i="1"/>
  <c r="E9" i="1" s="1"/>
  <c r="B10" i="1"/>
  <c r="E10" i="1" s="1"/>
  <c r="B11" i="1"/>
  <c r="E11" i="1" s="1"/>
  <c r="B12" i="1"/>
  <c r="E12" i="1" s="1"/>
  <c r="B13" i="1"/>
  <c r="E13" i="1" s="1"/>
  <c r="B14" i="1"/>
  <c r="E14" i="1" s="1"/>
  <c r="B15" i="1"/>
  <c r="E15" i="1" s="1"/>
  <c r="B16" i="1"/>
  <c r="E16" i="1" s="1"/>
  <c r="B17" i="1"/>
  <c r="E17" i="1" s="1"/>
  <c r="B18" i="1"/>
  <c r="E18" i="1" s="1"/>
  <c r="B19" i="1"/>
  <c r="E19" i="1" s="1"/>
  <c r="B20" i="1"/>
  <c r="E20" i="1" s="1"/>
  <c r="B21" i="1"/>
  <c r="E21" i="1" s="1"/>
  <c r="B22" i="1"/>
  <c r="E22" i="1" s="1"/>
  <c r="B23" i="1"/>
  <c r="E23" i="1" s="1"/>
  <c r="B24" i="1"/>
  <c r="E24" i="1" s="1"/>
  <c r="B25" i="1"/>
  <c r="E25" i="1" s="1"/>
  <c r="B26" i="1"/>
  <c r="E26" i="1" s="1"/>
  <c r="B27" i="1"/>
  <c r="E27" i="1" s="1"/>
  <c r="B28" i="1"/>
  <c r="E28" i="1" s="1"/>
  <c r="B29" i="1"/>
  <c r="E29" i="1" s="1"/>
  <c r="B30" i="1"/>
  <c r="E30" i="1" s="1"/>
  <c r="B31" i="1"/>
  <c r="E31" i="1" s="1"/>
  <c r="B32" i="1"/>
  <c r="E32" i="1" s="1"/>
  <c r="B33" i="1"/>
  <c r="E33" i="1" s="1"/>
  <c r="B34" i="1"/>
  <c r="E34" i="1" s="1"/>
  <c r="B35" i="1"/>
  <c r="E35" i="1" s="1"/>
  <c r="B36" i="1"/>
  <c r="E36" i="1" s="1"/>
  <c r="B37" i="1"/>
  <c r="E37" i="1" s="1"/>
  <c r="B38" i="1"/>
  <c r="E38" i="1" s="1"/>
  <c r="B39" i="1"/>
  <c r="E39" i="1" s="1"/>
  <c r="B40" i="1"/>
  <c r="E40" i="1" s="1"/>
  <c r="B41" i="1"/>
  <c r="E41" i="1" s="1"/>
  <c r="B42" i="1"/>
  <c r="E42" i="1" s="1"/>
  <c r="B43" i="1"/>
  <c r="E43" i="1" s="1"/>
  <c r="B44" i="1"/>
  <c r="E44" i="1" s="1"/>
  <c r="B45" i="1"/>
  <c r="E45" i="1" s="1"/>
  <c r="B46" i="1"/>
  <c r="E46" i="1" s="1"/>
  <c r="B47" i="1"/>
  <c r="E47" i="1" s="1"/>
  <c r="B48" i="1"/>
  <c r="E48" i="1" s="1"/>
  <c r="B49" i="1"/>
  <c r="E49" i="1" s="1"/>
  <c r="B50" i="1"/>
  <c r="E50" i="1" s="1"/>
  <c r="B51" i="1"/>
  <c r="E51" i="1" s="1"/>
  <c r="B52" i="1"/>
  <c r="E52" i="1" s="1"/>
  <c r="B53" i="1"/>
  <c r="E53" i="1" s="1"/>
  <c r="B54" i="1"/>
  <c r="E54" i="1" s="1"/>
  <c r="B55" i="1"/>
  <c r="E55" i="1" s="1"/>
  <c r="B56" i="1"/>
  <c r="E56" i="1" s="1"/>
  <c r="B57" i="1"/>
  <c r="E57" i="1" s="1"/>
  <c r="B58" i="1"/>
  <c r="E58" i="1" s="1"/>
  <c r="B59" i="1"/>
  <c r="E59" i="1" s="1"/>
  <c r="B60" i="1"/>
  <c r="E60" i="1" s="1"/>
  <c r="B2" i="1"/>
  <c r="E2" i="1" s="1"/>
  <c r="E4" i="1"/>
  <c r="E5" i="1"/>
  <c r="H3" i="1" l="1"/>
</calcChain>
</file>

<file path=xl/sharedStrings.xml><?xml version="1.0" encoding="utf-8"?>
<sst xmlns="http://schemas.openxmlformats.org/spreadsheetml/2006/main" count="8" uniqueCount="8">
  <si>
    <t>Coming soon</t>
  </si>
  <si>
    <t>coming soon</t>
  </si>
  <si>
    <t>paste here</t>
  </si>
  <si>
    <t>weights</t>
  </si>
  <si>
    <t>GAWAIN</t>
  </si>
  <si>
    <t>percent of healthy retina</t>
  </si>
  <si>
    <t>individual weights</t>
  </si>
  <si>
    <t>size of annulus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</si>
</sst>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activeCell="D2" sqref="D2:D61"/>
    </sheetView>
  </sheetViews>
  <sheetFormatPr defaultColWidth="11.42578125" defaultRowHeight="15" x14ac:dyDescent="0.25"/>
  <cols>
    <col min="2" max="2" width="26.140625" customWidth="1"/>
    <col min="3" max="3" width="26.140625" style="2" customWidth="1"/>
  </cols>
  <sheetData>
    <row r="1" spans="1:10" x14ac:dyDescent="0.25">
      <c r="A1" s="1" t="s">
        <v>2</v>
      </c>
      <c r="B1" s="1" t="s">
        <v>5</v>
      </c>
      <c r="C1" s="1" t="s">
        <v>7</v>
      </c>
      <c r="D1" s="1" t="s">
        <v>3</v>
      </c>
      <c r="E1" s="1" t="s">
        <v>6</v>
      </c>
      <c r="J1" s="1"/>
    </row>
    <row r="2" spans="1:10" x14ac:dyDescent="0.25">
      <c r="A2">
        <v>0</v>
      </c>
      <c r="B2">
        <f>100-(100*A2/255)</f>
        <v>100</v>
      </c>
      <c r="C2">
        <v>7.8539816339744835E-3</v>
      </c>
      <c r="D2" s="3">
        <v>619.95307762384061</v>
      </c>
      <c r="E2">
        <f t="shared" ref="E2:E33" si="0">(B2*C2*D2)/100</f>
        <v>4.869100085583602</v>
      </c>
    </row>
    <row r="3" spans="1:10" x14ac:dyDescent="0.25">
      <c r="A3">
        <v>0</v>
      </c>
      <c r="B3">
        <f t="shared" ref="B3:B60" si="1">100-(100*A3/255)</f>
        <v>100</v>
      </c>
      <c r="C3">
        <v>2.356194490192345E-2</v>
      </c>
      <c r="D3" s="3">
        <v>222.99900372521711</v>
      </c>
      <c r="E3">
        <f t="shared" si="0"/>
        <v>5.2542902389573873</v>
      </c>
      <c r="G3" t="s">
        <v>4</v>
      </c>
      <c r="H3">
        <f>SUM(E2:E61)</f>
        <v>99.999999999999986</v>
      </c>
    </row>
    <row r="4" spans="1:10" x14ac:dyDescent="0.25">
      <c r="A4">
        <v>0</v>
      </c>
      <c r="B4">
        <f t="shared" si="1"/>
        <v>100</v>
      </c>
      <c r="C4">
        <v>3.9269908169872407E-2</v>
      </c>
      <c r="D4" s="3">
        <v>146.28120187946089</v>
      </c>
      <c r="E4">
        <f t="shared" si="0"/>
        <v>5.7444493647849955</v>
      </c>
    </row>
    <row r="5" spans="1:10" x14ac:dyDescent="0.25">
      <c r="A5">
        <v>0</v>
      </c>
      <c r="B5">
        <f t="shared" si="1"/>
        <v>100</v>
      </c>
      <c r="C5">
        <v>5.4977871437821388E-2</v>
      </c>
      <c r="D5" s="3">
        <v>108.7939711850817</v>
      </c>
      <c r="E5">
        <f t="shared" si="0"/>
        <v>5.9812609610234668</v>
      </c>
    </row>
    <row r="6" spans="1:10" x14ac:dyDescent="0.25">
      <c r="A6">
        <v>0</v>
      </c>
      <c r="B6">
        <f t="shared" si="1"/>
        <v>100</v>
      </c>
      <c r="C6">
        <v>7.0685834705770334E-2</v>
      </c>
      <c r="D6" s="3">
        <v>86.144199633572612</v>
      </c>
      <c r="E6">
        <f t="shared" si="0"/>
        <v>6.089174656159595</v>
      </c>
    </row>
    <row r="7" spans="1:10" x14ac:dyDescent="0.25">
      <c r="A7">
        <v>0</v>
      </c>
      <c r="B7">
        <f t="shared" si="1"/>
        <v>100</v>
      </c>
      <c r="C7">
        <v>8.6393797973719322E-2</v>
      </c>
      <c r="D7" s="3">
        <v>70.676277921587371</v>
      </c>
      <c r="E7">
        <f t="shared" si="0"/>
        <v>6.1059920762920576</v>
      </c>
    </row>
    <row r="8" spans="1:10" x14ac:dyDescent="0.25">
      <c r="A8">
        <v>0</v>
      </c>
      <c r="B8">
        <f t="shared" si="1"/>
        <v>100</v>
      </c>
      <c r="C8">
        <v>0.1021017612416682</v>
      </c>
      <c r="D8" s="3">
        <v>57.942884222693877</v>
      </c>
      <c r="E8">
        <f t="shared" si="0"/>
        <v>5.9160705305591135</v>
      </c>
    </row>
    <row r="9" spans="1:10" x14ac:dyDescent="0.25">
      <c r="A9">
        <v>0</v>
      </c>
      <c r="B9">
        <f t="shared" si="1"/>
        <v>100</v>
      </c>
      <c r="C9">
        <v>0.11780972450961739</v>
      </c>
      <c r="D9" s="3">
        <v>45.710590014665392</v>
      </c>
      <c r="E9">
        <f t="shared" si="0"/>
        <v>5.3851520167997977</v>
      </c>
    </row>
    <row r="10" spans="1:10" x14ac:dyDescent="0.25">
      <c r="A10">
        <v>0</v>
      </c>
      <c r="B10">
        <f t="shared" si="1"/>
        <v>100</v>
      </c>
      <c r="C10">
        <v>0.1335176877775662</v>
      </c>
      <c r="D10" s="3">
        <v>35.960927097618729</v>
      </c>
      <c r="E10">
        <f t="shared" si="0"/>
        <v>4.8014198364116769</v>
      </c>
    </row>
    <row r="11" spans="1:10" x14ac:dyDescent="0.25">
      <c r="A11">
        <v>0</v>
      </c>
      <c r="B11">
        <f t="shared" si="1"/>
        <v>100</v>
      </c>
      <c r="C11">
        <v>0.14922565104551511</v>
      </c>
      <c r="D11" s="3">
        <v>27.19714199316514</v>
      </c>
      <c r="E11">
        <f t="shared" si="0"/>
        <v>4.0585112205073868</v>
      </c>
    </row>
    <row r="12" spans="1:10" x14ac:dyDescent="0.25">
      <c r="A12">
        <v>0</v>
      </c>
      <c r="B12">
        <f t="shared" si="1"/>
        <v>100</v>
      </c>
      <c r="C12">
        <v>0.16493361431346429</v>
      </c>
      <c r="D12" s="3">
        <v>20.89987592174252</v>
      </c>
      <c r="E12">
        <f t="shared" si="0"/>
        <v>3.4470920744759401</v>
      </c>
    </row>
    <row r="13" spans="1:10" x14ac:dyDescent="0.25">
      <c r="A13">
        <v>0</v>
      </c>
      <c r="B13">
        <f t="shared" si="1"/>
        <v>100</v>
      </c>
      <c r="C13">
        <v>0.180641577581413</v>
      </c>
      <c r="D13" s="3">
        <v>16.40113594559687</v>
      </c>
      <c r="E13">
        <f t="shared" si="0"/>
        <v>2.9627270713398381</v>
      </c>
    </row>
    <row r="14" spans="1:10" x14ac:dyDescent="0.25">
      <c r="A14">
        <v>0</v>
      </c>
      <c r="B14">
        <f t="shared" si="1"/>
        <v>100</v>
      </c>
      <c r="C14">
        <v>0.1963495408493621</v>
      </c>
      <c r="D14" s="3">
        <v>14.22047059948142</v>
      </c>
      <c r="E14">
        <f t="shared" si="0"/>
        <v>2.7921828728700304</v>
      </c>
    </row>
    <row r="15" spans="1:10" x14ac:dyDescent="0.25">
      <c r="A15">
        <v>0</v>
      </c>
      <c r="B15">
        <f t="shared" si="1"/>
        <v>100</v>
      </c>
      <c r="C15">
        <v>0.2120575041173107</v>
      </c>
      <c r="D15" s="3">
        <v>11.93570353600445</v>
      </c>
      <c r="E15">
        <f t="shared" si="0"/>
        <v>2.5310555017292637</v>
      </c>
    </row>
    <row r="16" spans="1:10" x14ac:dyDescent="0.25">
      <c r="A16">
        <v>0</v>
      </c>
      <c r="B16">
        <f t="shared" si="1"/>
        <v>100</v>
      </c>
      <c r="C16">
        <v>0.2277654673852603</v>
      </c>
      <c r="D16" s="3">
        <v>9.1387889641817033</v>
      </c>
      <c r="E16">
        <f t="shared" si="0"/>
        <v>2.0815005397621045</v>
      </c>
    </row>
    <row r="17" spans="1:5" x14ac:dyDescent="0.25">
      <c r="A17">
        <v>0</v>
      </c>
      <c r="B17">
        <f t="shared" si="1"/>
        <v>100</v>
      </c>
      <c r="C17">
        <v>0.24347343065320909</v>
      </c>
      <c r="D17" s="3">
        <v>7.591572236672401</v>
      </c>
      <c r="E17">
        <f t="shared" si="0"/>
        <v>1.8483461365142853</v>
      </c>
    </row>
    <row r="18" spans="1:5" x14ac:dyDescent="0.25">
      <c r="A18">
        <v>0</v>
      </c>
      <c r="B18">
        <f t="shared" si="1"/>
        <v>100</v>
      </c>
      <c r="C18">
        <v>0.25918139392115741</v>
      </c>
      <c r="D18" s="3">
        <v>7.1109334411459804</v>
      </c>
      <c r="E18">
        <f t="shared" si="0"/>
        <v>1.8430216413567877</v>
      </c>
    </row>
    <row r="19" spans="1:5" x14ac:dyDescent="0.25">
      <c r="A19">
        <v>0</v>
      </c>
      <c r="B19">
        <f t="shared" si="1"/>
        <v>100</v>
      </c>
      <c r="C19">
        <v>0.27488935718910762</v>
      </c>
      <c r="D19" s="3">
        <v>6.5495880966546958</v>
      </c>
      <c r="E19">
        <f t="shared" si="0"/>
        <v>1.8004120617428405</v>
      </c>
    </row>
    <row r="20" spans="1:5" x14ac:dyDescent="0.25">
      <c r="A20">
        <v>0</v>
      </c>
      <c r="B20">
        <f t="shared" si="1"/>
        <v>100</v>
      </c>
      <c r="C20">
        <v>0.29059732045705561</v>
      </c>
      <c r="D20" s="3">
        <v>5.8535481090792247</v>
      </c>
      <c r="E20">
        <f t="shared" si="0"/>
        <v>1.7010253956648875</v>
      </c>
    </row>
    <row r="21" spans="1:5" x14ac:dyDescent="0.25">
      <c r="A21">
        <v>0</v>
      </c>
      <c r="B21">
        <f t="shared" si="1"/>
        <v>100</v>
      </c>
      <c r="C21">
        <v>0.30630528372500487</v>
      </c>
      <c r="D21" s="3">
        <v>4.9464908422958356</v>
      </c>
      <c r="E21">
        <f t="shared" si="0"/>
        <v>1.5151362808925644</v>
      </c>
    </row>
    <row r="22" spans="1:5" x14ac:dyDescent="0.25">
      <c r="A22">
        <v>0</v>
      </c>
      <c r="B22">
        <f t="shared" si="1"/>
        <v>100</v>
      </c>
      <c r="C22">
        <v>0.32201324699295369</v>
      </c>
      <c r="D22" s="3">
        <v>4.3066282710764003</v>
      </c>
      <c r="E22">
        <f t="shared" si="0"/>
        <v>1.3867913531609619</v>
      </c>
    </row>
    <row r="23" spans="1:5" x14ac:dyDescent="0.25">
      <c r="A23">
        <v>0</v>
      </c>
      <c r="B23">
        <f t="shared" si="1"/>
        <v>100</v>
      </c>
      <c r="C23">
        <v>0.33772121026090351</v>
      </c>
      <c r="D23" s="3">
        <v>3.776793419739001</v>
      </c>
      <c r="E23">
        <f t="shared" si="0"/>
        <v>1.2755032446196721</v>
      </c>
    </row>
    <row r="24" spans="1:5" x14ac:dyDescent="0.25">
      <c r="A24">
        <v>0</v>
      </c>
      <c r="B24">
        <f t="shared" si="1"/>
        <v>100</v>
      </c>
      <c r="C24">
        <v>0.35342917352885023</v>
      </c>
      <c r="D24" s="3">
        <v>3.1533647230127522</v>
      </c>
      <c r="E24">
        <f t="shared" si="0"/>
        <v>1.1144910878894287</v>
      </c>
    </row>
    <row r="25" spans="1:5" x14ac:dyDescent="0.25">
      <c r="A25">
        <v>0</v>
      </c>
      <c r="B25">
        <f t="shared" si="1"/>
        <v>100</v>
      </c>
      <c r="C25">
        <v>0.36913713679680171</v>
      </c>
      <c r="D25" s="3">
        <v>2.4926718746881118</v>
      </c>
      <c r="E25">
        <f t="shared" si="0"/>
        <v>0.92013775879628568</v>
      </c>
    </row>
    <row r="26" spans="1:5" x14ac:dyDescent="0.25">
      <c r="A26">
        <v>0</v>
      </c>
      <c r="B26">
        <f t="shared" si="1"/>
        <v>100</v>
      </c>
      <c r="C26">
        <v>0.3848451000647497</v>
      </c>
      <c r="D26" s="3">
        <v>2.1977203333096078</v>
      </c>
      <c r="E26">
        <f t="shared" si="0"/>
        <v>0.84578190158687105</v>
      </c>
    </row>
    <row r="27" spans="1:5" x14ac:dyDescent="0.25">
      <c r="A27">
        <v>0</v>
      </c>
      <c r="B27">
        <f t="shared" si="1"/>
        <v>100</v>
      </c>
      <c r="C27">
        <v>0.40055306333269858</v>
      </c>
      <c r="D27" s="3">
        <v>1.941882353658918</v>
      </c>
      <c r="E27">
        <f t="shared" si="0"/>
        <v>0.77782692538979037</v>
      </c>
    </row>
    <row r="28" spans="1:5" x14ac:dyDescent="0.25">
      <c r="A28">
        <v>0</v>
      </c>
      <c r="B28">
        <f t="shared" si="1"/>
        <v>100</v>
      </c>
      <c r="C28">
        <v>0.41626102660064829</v>
      </c>
      <c r="D28" s="3">
        <v>1.696932639399225</v>
      </c>
      <c r="E28">
        <f t="shared" si="0"/>
        <v>0.70636692254846922</v>
      </c>
    </row>
    <row r="29" spans="1:5" x14ac:dyDescent="0.25">
      <c r="A29">
        <v>0</v>
      </c>
      <c r="B29">
        <f t="shared" si="1"/>
        <v>100</v>
      </c>
      <c r="C29">
        <v>0.43196898986859461</v>
      </c>
      <c r="D29" s="3">
        <v>1.6832879849868969</v>
      </c>
      <c r="E29">
        <f t="shared" si="0"/>
        <v>0.72712821053273191</v>
      </c>
    </row>
    <row r="30" spans="1:5" x14ac:dyDescent="0.25">
      <c r="A30">
        <v>0</v>
      </c>
      <c r="B30">
        <f t="shared" si="1"/>
        <v>100</v>
      </c>
      <c r="C30">
        <v>0.44767695313654698</v>
      </c>
      <c r="D30" s="3">
        <v>1.7429578327889299</v>
      </c>
      <c r="E30">
        <f t="shared" si="0"/>
        <v>0.78028205202842726</v>
      </c>
    </row>
    <row r="31" spans="1:5" x14ac:dyDescent="0.25">
      <c r="A31">
        <v>0</v>
      </c>
      <c r="B31">
        <f t="shared" si="1"/>
        <v>100</v>
      </c>
      <c r="C31">
        <v>0.46338491640449408</v>
      </c>
      <c r="D31" s="3">
        <v>1.464023487404335</v>
      </c>
      <c r="E31">
        <f t="shared" si="0"/>
        <v>0.67840640132507357</v>
      </c>
    </row>
    <row r="32" spans="1:5" x14ac:dyDescent="0.25">
      <c r="A32">
        <v>0</v>
      </c>
      <c r="B32">
        <f t="shared" si="1"/>
        <v>100</v>
      </c>
      <c r="C32">
        <v>0.47909287967244468</v>
      </c>
      <c r="D32" s="3">
        <v>1.407800542315089</v>
      </c>
      <c r="E32">
        <f t="shared" si="0"/>
        <v>0.67446721582216529</v>
      </c>
    </row>
    <row r="33" spans="1:5" x14ac:dyDescent="0.25">
      <c r="A33">
        <v>0</v>
      </c>
      <c r="B33">
        <f t="shared" si="1"/>
        <v>100</v>
      </c>
      <c r="C33">
        <v>0.49480084294039178</v>
      </c>
      <c r="D33" s="3">
        <v>1.4694576768134</v>
      </c>
      <c r="E33">
        <f t="shared" si="0"/>
        <v>0.72708889715250014</v>
      </c>
    </row>
    <row r="34" spans="1:5" x14ac:dyDescent="0.25">
      <c r="A34">
        <v>0</v>
      </c>
      <c r="B34">
        <f t="shared" si="1"/>
        <v>100</v>
      </c>
      <c r="C34">
        <v>0.51050880620833894</v>
      </c>
      <c r="D34" s="3">
        <v>1.503050602298734</v>
      </c>
      <c r="E34">
        <f t="shared" ref="E34:E61" si="2">(B34*C34*D34)/100</f>
        <v>0.76732056865025156</v>
      </c>
    </row>
    <row r="35" spans="1:5" x14ac:dyDescent="0.25">
      <c r="A35">
        <v>0</v>
      </c>
      <c r="B35">
        <f t="shared" si="1"/>
        <v>100</v>
      </c>
      <c r="C35">
        <v>0.52621676947629048</v>
      </c>
      <c r="D35" s="3">
        <v>1.602797764371608</v>
      </c>
      <c r="E35">
        <f t="shared" si="2"/>
        <v>0.8434190616914482</v>
      </c>
    </row>
    <row r="36" spans="1:5" x14ac:dyDescent="0.25">
      <c r="A36">
        <v>0</v>
      </c>
      <c r="B36">
        <f t="shared" si="1"/>
        <v>100</v>
      </c>
      <c r="C36">
        <v>0.54192473274424025</v>
      </c>
      <c r="D36" s="3">
        <v>1.751893475935987</v>
      </c>
      <c r="E36">
        <f t="shared" si="2"/>
        <v>0.94939440374298778</v>
      </c>
    </row>
    <row r="37" spans="1:5" x14ac:dyDescent="0.25">
      <c r="A37">
        <v>0</v>
      </c>
      <c r="B37">
        <f t="shared" si="1"/>
        <v>100</v>
      </c>
      <c r="C37">
        <v>0.55763269601219001</v>
      </c>
      <c r="D37" s="3">
        <v>1.978627377720473</v>
      </c>
      <c r="E37">
        <f t="shared" si="2"/>
        <v>1.1033473190417973</v>
      </c>
    </row>
    <row r="38" spans="1:5" x14ac:dyDescent="0.25">
      <c r="A38">
        <v>0</v>
      </c>
      <c r="B38">
        <f t="shared" si="1"/>
        <v>100</v>
      </c>
      <c r="C38">
        <v>0.573340659280138</v>
      </c>
      <c r="D38" s="3">
        <v>2.0955118903908518</v>
      </c>
      <c r="E38">
        <f t="shared" si="2"/>
        <v>1.2014421687660592</v>
      </c>
    </row>
    <row r="39" spans="1:5" x14ac:dyDescent="0.25">
      <c r="A39">
        <v>0</v>
      </c>
      <c r="B39">
        <f t="shared" si="1"/>
        <v>100</v>
      </c>
      <c r="C39">
        <v>0.58904862254808421</v>
      </c>
      <c r="D39" s="3">
        <v>2.1632419641713452</v>
      </c>
      <c r="E39">
        <f t="shared" si="2"/>
        <v>1.274254699233343</v>
      </c>
    </row>
    <row r="40" spans="1:5" x14ac:dyDescent="0.25">
      <c r="A40">
        <v>0</v>
      </c>
      <c r="B40">
        <f t="shared" si="1"/>
        <v>100</v>
      </c>
      <c r="C40">
        <v>0.60475658581603398</v>
      </c>
      <c r="D40" s="3">
        <v>2.26394630786411</v>
      </c>
      <c r="E40">
        <f t="shared" si="2"/>
        <v>1.3691364396147148</v>
      </c>
    </row>
    <row r="41" spans="1:5" x14ac:dyDescent="0.25">
      <c r="A41">
        <v>0</v>
      </c>
      <c r="B41">
        <f t="shared" si="1"/>
        <v>100</v>
      </c>
      <c r="C41">
        <v>0.62046454908398552</v>
      </c>
      <c r="D41" s="3">
        <v>2.060535728124921</v>
      </c>
      <c r="E41">
        <f t="shared" si="2"/>
        <v>1.278489371422471</v>
      </c>
    </row>
    <row r="42" spans="1:5" x14ac:dyDescent="0.25">
      <c r="A42">
        <v>0</v>
      </c>
      <c r="B42">
        <f t="shared" si="1"/>
        <v>100</v>
      </c>
      <c r="C42">
        <v>0.63617251235193173</v>
      </c>
      <c r="D42" s="3">
        <v>1.855274555246381</v>
      </c>
      <c r="E42">
        <f t="shared" si="2"/>
        <v>1.180274674913703</v>
      </c>
    </row>
    <row r="43" spans="1:5" x14ac:dyDescent="0.25">
      <c r="A43">
        <v>0</v>
      </c>
      <c r="B43">
        <f t="shared" si="1"/>
        <v>100</v>
      </c>
      <c r="C43">
        <v>0.65188047561988327</v>
      </c>
      <c r="D43" s="3">
        <v>1.541546736049453</v>
      </c>
      <c r="E43">
        <f t="shared" si="2"/>
        <v>1.0049042194861961</v>
      </c>
    </row>
    <row r="44" spans="1:5" x14ac:dyDescent="0.25">
      <c r="A44">
        <v>0</v>
      </c>
      <c r="B44">
        <f t="shared" si="1"/>
        <v>100</v>
      </c>
      <c r="C44">
        <v>0.66758843888782948</v>
      </c>
      <c r="D44" s="3">
        <v>1.0983214182763561</v>
      </c>
      <c r="E44">
        <f t="shared" si="2"/>
        <v>0.73322668102417932</v>
      </c>
    </row>
    <row r="45" spans="1:5" x14ac:dyDescent="0.25">
      <c r="A45">
        <v>0</v>
      </c>
      <c r="B45">
        <f t="shared" si="1"/>
        <v>100</v>
      </c>
      <c r="C45">
        <v>0.68329640215578458</v>
      </c>
      <c r="D45" s="3">
        <v>0.7055476601464018</v>
      </c>
      <c r="E45">
        <f t="shared" si="2"/>
        <v>0.48209817772746855</v>
      </c>
    </row>
    <row r="46" spans="1:5" x14ac:dyDescent="0.25">
      <c r="A46">
        <v>0</v>
      </c>
      <c r="B46">
        <f t="shared" si="1"/>
        <v>100</v>
      </c>
      <c r="C46">
        <v>0.69900436542372546</v>
      </c>
      <c r="D46" s="3">
        <v>0.4918036187159403</v>
      </c>
      <c r="E46">
        <f t="shared" si="2"/>
        <v>0.34377287641362769</v>
      </c>
    </row>
    <row r="47" spans="1:5" x14ac:dyDescent="0.25">
      <c r="A47">
        <v>0</v>
      </c>
      <c r="B47">
        <f t="shared" si="1"/>
        <v>100</v>
      </c>
      <c r="C47">
        <v>0.71471232869167522</v>
      </c>
      <c r="D47" s="3">
        <v>0.12804010312144709</v>
      </c>
      <c r="E47">
        <f t="shared" si="2"/>
        <v>9.1511840267851682E-2</v>
      </c>
    </row>
    <row r="48" spans="1:5" x14ac:dyDescent="0.25">
      <c r="A48">
        <v>0</v>
      </c>
      <c r="B48">
        <f t="shared" si="1"/>
        <v>100</v>
      </c>
      <c r="C48">
        <v>0.7304202919596321</v>
      </c>
      <c r="D48" s="3">
        <v>4.8211918687837342E-2</v>
      </c>
      <c r="E48">
        <f t="shared" si="2"/>
        <v>3.5214963723904195E-2</v>
      </c>
    </row>
    <row r="49" spans="1:5" x14ac:dyDescent="0.25">
      <c r="A49">
        <v>0</v>
      </c>
      <c r="B49">
        <f t="shared" si="1"/>
        <v>100</v>
      </c>
      <c r="C49">
        <v>0.74612825522757475</v>
      </c>
      <c r="D49" s="3">
        <v>0</v>
      </c>
      <c r="E49">
        <f t="shared" si="2"/>
        <v>0</v>
      </c>
    </row>
    <row r="50" spans="1:5" x14ac:dyDescent="0.25">
      <c r="A50">
        <v>0</v>
      </c>
      <c r="B50">
        <f t="shared" si="1"/>
        <v>100</v>
      </c>
      <c r="C50">
        <v>0.76183621849552807</v>
      </c>
      <c r="D50" s="3">
        <v>0</v>
      </c>
      <c r="E50">
        <f t="shared" si="2"/>
        <v>0</v>
      </c>
    </row>
    <row r="51" spans="1:5" x14ac:dyDescent="0.25">
      <c r="A51">
        <v>0</v>
      </c>
      <c r="B51">
        <f t="shared" si="1"/>
        <v>100</v>
      </c>
      <c r="C51">
        <v>0.77754418176347073</v>
      </c>
      <c r="D51" s="3">
        <v>0</v>
      </c>
      <c r="E51">
        <f t="shared" si="2"/>
        <v>0</v>
      </c>
    </row>
    <row r="52" spans="1:5" x14ac:dyDescent="0.25">
      <c r="A52">
        <v>0</v>
      </c>
      <c r="B52">
        <f t="shared" si="1"/>
        <v>100</v>
      </c>
      <c r="C52">
        <v>0.7932521450314205</v>
      </c>
      <c r="D52" s="3">
        <v>0</v>
      </c>
      <c r="E52">
        <f t="shared" si="2"/>
        <v>0</v>
      </c>
    </row>
    <row r="53" spans="1:5" x14ac:dyDescent="0.25">
      <c r="A53">
        <v>0</v>
      </c>
      <c r="B53">
        <f t="shared" si="1"/>
        <v>100</v>
      </c>
      <c r="C53">
        <v>0.80896010829937381</v>
      </c>
      <c r="D53" s="3">
        <v>0</v>
      </c>
      <c r="E53">
        <f t="shared" si="2"/>
        <v>0</v>
      </c>
    </row>
    <row r="54" spans="1:5" x14ac:dyDescent="0.25">
      <c r="A54">
        <v>0</v>
      </c>
      <c r="B54">
        <f t="shared" si="1"/>
        <v>100</v>
      </c>
      <c r="C54">
        <v>0.82466807156732003</v>
      </c>
      <c r="D54" s="3">
        <v>0</v>
      </c>
      <c r="E54">
        <f t="shared" si="2"/>
        <v>0</v>
      </c>
    </row>
    <row r="55" spans="1:5" x14ac:dyDescent="0.25">
      <c r="A55">
        <v>0</v>
      </c>
      <c r="B55">
        <f t="shared" si="1"/>
        <v>100</v>
      </c>
      <c r="C55">
        <v>0.84037603483527334</v>
      </c>
      <c r="D55" s="3">
        <v>0</v>
      </c>
      <c r="E55">
        <f t="shared" si="2"/>
        <v>0</v>
      </c>
    </row>
    <row r="56" spans="1:5" x14ac:dyDescent="0.25">
      <c r="A56">
        <v>0</v>
      </c>
      <c r="B56">
        <f t="shared" si="1"/>
        <v>100</v>
      </c>
      <c r="C56">
        <v>0.856083998103216</v>
      </c>
      <c r="D56" s="3">
        <v>0</v>
      </c>
      <c r="E56">
        <f t="shared" si="2"/>
        <v>0</v>
      </c>
    </row>
    <row r="57" spans="1:5" x14ac:dyDescent="0.25">
      <c r="A57">
        <v>0</v>
      </c>
      <c r="B57">
        <f t="shared" si="1"/>
        <v>100</v>
      </c>
      <c r="C57">
        <v>0.87179196137116222</v>
      </c>
      <c r="D57" s="3">
        <v>0</v>
      </c>
      <c r="E57">
        <f t="shared" si="2"/>
        <v>0</v>
      </c>
    </row>
    <row r="58" spans="1:5" x14ac:dyDescent="0.25">
      <c r="A58">
        <v>0</v>
      </c>
      <c r="B58">
        <f t="shared" si="1"/>
        <v>100</v>
      </c>
      <c r="C58">
        <v>0.88749992463912264</v>
      </c>
      <c r="D58" s="3">
        <v>0</v>
      </c>
      <c r="E58">
        <f t="shared" si="2"/>
        <v>0</v>
      </c>
    </row>
    <row r="59" spans="1:5" x14ac:dyDescent="0.25">
      <c r="A59">
        <v>0</v>
      </c>
      <c r="B59">
        <f t="shared" si="1"/>
        <v>100</v>
      </c>
      <c r="C59">
        <v>0.9032078879070653</v>
      </c>
      <c r="D59" s="3">
        <v>0</v>
      </c>
      <c r="E59">
        <f t="shared" si="2"/>
        <v>0</v>
      </c>
    </row>
    <row r="60" spans="1:5" x14ac:dyDescent="0.25">
      <c r="A60">
        <v>0</v>
      </c>
      <c r="B60">
        <f t="shared" si="1"/>
        <v>100</v>
      </c>
      <c r="C60">
        <v>0.91891585117501506</v>
      </c>
      <c r="D60" s="3">
        <v>0</v>
      </c>
      <c r="E60">
        <f t="shared" si="2"/>
        <v>0</v>
      </c>
    </row>
    <row r="61" spans="1:5" x14ac:dyDescent="0.25">
      <c r="A61">
        <v>0</v>
      </c>
      <c r="B61">
        <f>100-(100*A61/255)</f>
        <v>100</v>
      </c>
      <c r="C61">
        <v>0.93462381444296128</v>
      </c>
      <c r="D61" s="3">
        <v>0</v>
      </c>
      <c r="E61">
        <f t="shared" si="2"/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>
    <row r="1" spans="1:1" x14ac:dyDescent="0.25">
      <c r="A1" t="s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2" sqref="B2"/>
    </sheetView>
  </sheetViews>
  <sheetFormatPr defaultColWidth="11.42578125" defaultRowHeight="15" x14ac:dyDescent="0.25"/>
  <sheetData>
    <row r="1" spans="1:1" x14ac:dyDescent="0.25">
      <c r="A1" t="s">
        <v>1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GAWAIN</vt:lpstr>
      <vt:lpstr>low-luminance GAWAIN</vt:lpstr>
      <vt:lpstr>reading performance GAWAIN</vt:lpstr>
    </vt:vector>
  </TitlesOfParts>
  <Company>Uniklinik Bonn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der Emde, Dr. Leon</dc:creator>
  <cp:lastModifiedBy>Hou, Jintong (NIH/NEI) [F]</cp:lastModifiedBy>
  <dcterms:created xsi:type="dcterms:W3CDTF">2025-12-15T12:14:53Z</dcterms:created>
  <dcterms:modified xsi:type="dcterms:W3CDTF">2025-12-15T15:08:54Z</dcterms:modified>
</cp:coreProperties>
</file>