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ukb364.klinik.bn\Kliniken$\50115440\DesktopW7\"/>
    </mc:Choice>
  </mc:AlternateContent>
  <bookViews>
    <workbookView xWindow="0" yWindow="0" windowWidth="21570" windowHeight="7965"/>
  </bookViews>
  <sheets>
    <sheet name="GAWAIN" sheetId="1" r:id="rId1"/>
    <sheet name="low-luminance GAWAIN" sheetId="2" r:id="rId2"/>
    <sheet name="reading performance GAWAI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1" i="1" l="1"/>
  <c r="B3" i="1"/>
  <c r="B4" i="1"/>
  <c r="B5" i="1"/>
  <c r="B6" i="1"/>
  <c r="B7" i="1"/>
  <c r="B8" i="1"/>
  <c r="B9" i="1"/>
  <c r="B10" i="1"/>
  <c r="B11" i="1"/>
  <c r="B12" i="1"/>
  <c r="B13" i="1"/>
  <c r="B14" i="1"/>
  <c r="E14" i="1" s="1"/>
  <c r="B15" i="1"/>
  <c r="B16" i="1"/>
  <c r="E16" i="1" s="1"/>
  <c r="B17" i="1"/>
  <c r="E17" i="1" s="1"/>
  <c r="B18" i="1"/>
  <c r="E18" i="1" s="1"/>
  <c r="B19" i="1"/>
  <c r="E19" i="1" s="1"/>
  <c r="B20" i="1"/>
  <c r="E20" i="1" s="1"/>
  <c r="B21" i="1"/>
  <c r="E21" i="1" s="1"/>
  <c r="B22" i="1"/>
  <c r="E22" i="1" s="1"/>
  <c r="B23" i="1"/>
  <c r="E23" i="1" s="1"/>
  <c r="B24" i="1"/>
  <c r="E24" i="1" s="1"/>
  <c r="B25" i="1"/>
  <c r="E25" i="1" s="1"/>
  <c r="B26" i="1"/>
  <c r="E26" i="1" s="1"/>
  <c r="B27" i="1"/>
  <c r="B28" i="1"/>
  <c r="E28" i="1" s="1"/>
  <c r="B29" i="1"/>
  <c r="E29" i="1" s="1"/>
  <c r="B30" i="1"/>
  <c r="E30" i="1" s="1"/>
  <c r="B31" i="1"/>
  <c r="E31" i="1" s="1"/>
  <c r="B32" i="1"/>
  <c r="E32" i="1" s="1"/>
  <c r="B33" i="1"/>
  <c r="E33" i="1" s="1"/>
  <c r="B34" i="1"/>
  <c r="E34" i="1" s="1"/>
  <c r="B35" i="1"/>
  <c r="E35" i="1" s="1"/>
  <c r="B36" i="1"/>
  <c r="E36" i="1" s="1"/>
  <c r="B37" i="1"/>
  <c r="E37" i="1" s="1"/>
  <c r="B38" i="1"/>
  <c r="E38" i="1" s="1"/>
  <c r="B39" i="1"/>
  <c r="B40" i="1"/>
  <c r="B41" i="1"/>
  <c r="E41" i="1" s="1"/>
  <c r="B42" i="1"/>
  <c r="E42" i="1" s="1"/>
  <c r="B43" i="1"/>
  <c r="E43" i="1" s="1"/>
  <c r="B44" i="1"/>
  <c r="E44" i="1" s="1"/>
  <c r="B45" i="1"/>
  <c r="E45" i="1" s="1"/>
  <c r="B46" i="1"/>
  <c r="E46" i="1" s="1"/>
  <c r="B47" i="1"/>
  <c r="E47" i="1" s="1"/>
  <c r="B48" i="1"/>
  <c r="E48" i="1" s="1"/>
  <c r="B49" i="1"/>
  <c r="E49" i="1" s="1"/>
  <c r="B50" i="1"/>
  <c r="E50" i="1" s="1"/>
  <c r="B51" i="1"/>
  <c r="B52" i="1"/>
  <c r="B53" i="1"/>
  <c r="B54" i="1"/>
  <c r="E54" i="1" s="1"/>
  <c r="B55" i="1"/>
  <c r="E55" i="1" s="1"/>
  <c r="B56" i="1"/>
  <c r="E56" i="1" s="1"/>
  <c r="B57" i="1"/>
  <c r="E57" i="1" s="1"/>
  <c r="B58" i="1"/>
  <c r="E58" i="1" s="1"/>
  <c r="B59" i="1"/>
  <c r="E59" i="1" s="1"/>
  <c r="B60" i="1"/>
  <c r="E60" i="1" s="1"/>
  <c r="B2" i="1"/>
  <c r="E2" i="1" s="1"/>
  <c r="E61" i="1"/>
  <c r="E3" i="1"/>
  <c r="E4" i="1"/>
  <c r="E5" i="1"/>
  <c r="E6" i="1"/>
  <c r="E7" i="1"/>
  <c r="E8" i="1"/>
  <c r="E9" i="1"/>
  <c r="E10" i="1"/>
  <c r="E11" i="1"/>
  <c r="E12" i="1"/>
  <c r="E13" i="1"/>
  <c r="E15" i="1"/>
  <c r="E27" i="1"/>
  <c r="E39" i="1"/>
  <c r="E40" i="1"/>
  <c r="E51" i="1"/>
  <c r="E52" i="1"/>
  <c r="E53" i="1"/>
  <c r="H3" i="1" l="1"/>
</calcChain>
</file>

<file path=xl/sharedStrings.xml><?xml version="1.0" encoding="utf-8"?>
<sst xmlns="http://schemas.openxmlformats.org/spreadsheetml/2006/main" count="8" uniqueCount="8">
  <si>
    <t>Coming soon</t>
  </si>
  <si>
    <t>coming soon</t>
  </si>
  <si>
    <t>paste here</t>
  </si>
  <si>
    <t>weights</t>
  </si>
  <si>
    <t>GAWAIN</t>
  </si>
  <si>
    <t>percent of healthy retina</t>
  </si>
  <si>
    <t>individual weights</t>
  </si>
  <si>
    <t>size of annulus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</si>
</sst>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168" fontId="2" fillId="0" borderId="0" xfId="0" applyNumberFormat="1" applyFon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abSelected="1" topLeftCell="A7" workbookViewId="0">
      <selection activeCell="H10" sqref="H10"/>
    </sheetView>
  </sheetViews>
  <sheetFormatPr baseColWidth="10" defaultRowHeight="15" x14ac:dyDescent="0.25"/>
  <cols>
    <col min="2" max="2" width="26.140625" customWidth="1"/>
    <col min="3" max="3" width="26.140625" style="2" customWidth="1"/>
  </cols>
  <sheetData>
    <row r="1" spans="1:8" x14ac:dyDescent="0.25">
      <c r="A1" s="1" t="s">
        <v>2</v>
      </c>
      <c r="B1" s="1" t="s">
        <v>5</v>
      </c>
      <c r="C1" s="1" t="s">
        <v>7</v>
      </c>
      <c r="D1" s="1" t="s">
        <v>3</v>
      </c>
      <c r="E1" s="1" t="s">
        <v>6</v>
      </c>
    </row>
    <row r="2" spans="1:8" x14ac:dyDescent="0.25">
      <c r="A2">
        <v>0</v>
      </c>
      <c r="B2">
        <f>100-(100*A2/255)</f>
        <v>100</v>
      </c>
      <c r="C2" s="2">
        <v>1.9634954000000001E-3</v>
      </c>
      <c r="D2">
        <v>619.95000000000005</v>
      </c>
      <c r="E2">
        <f>(B2*C2*D2)/100</f>
        <v>1.2172689732300002</v>
      </c>
    </row>
    <row r="3" spans="1:8" x14ac:dyDescent="0.25">
      <c r="A3">
        <v>0</v>
      </c>
      <c r="B3">
        <f t="shared" ref="B3:B60" si="0">100-(100*A3/255)</f>
        <v>100</v>
      </c>
      <c r="C3" s="3">
        <v>1.5707963299999999E-2</v>
      </c>
      <c r="D3">
        <v>223</v>
      </c>
      <c r="E3">
        <f t="shared" ref="E3:E60" si="1">(B3*C3*D3)/100</f>
        <v>3.5028758158999995</v>
      </c>
      <c r="G3" t="s">
        <v>4</v>
      </c>
      <c r="H3">
        <f>SUM(E2:E61)</f>
        <v>89.388737150225992</v>
      </c>
    </row>
    <row r="4" spans="1:8" x14ac:dyDescent="0.25">
      <c r="A4">
        <v>0</v>
      </c>
      <c r="B4">
        <f t="shared" si="0"/>
        <v>100</v>
      </c>
      <c r="C4" s="3">
        <v>3.1415926499999997E-2</v>
      </c>
      <c r="D4">
        <v>146.28</v>
      </c>
      <c r="E4">
        <f t="shared" si="1"/>
        <v>4.5955217284199996</v>
      </c>
    </row>
    <row r="5" spans="1:8" x14ac:dyDescent="0.25">
      <c r="A5">
        <v>0</v>
      </c>
      <c r="B5">
        <f t="shared" si="0"/>
        <v>100</v>
      </c>
      <c r="C5" s="3">
        <v>4.7123889799999999E-2</v>
      </c>
      <c r="D5">
        <v>108.79</v>
      </c>
      <c r="E5">
        <f t="shared" si="1"/>
        <v>5.1266079713420005</v>
      </c>
    </row>
    <row r="6" spans="1:8" x14ac:dyDescent="0.25">
      <c r="A6">
        <v>0</v>
      </c>
      <c r="B6">
        <f t="shared" si="0"/>
        <v>100</v>
      </c>
      <c r="C6" s="3">
        <v>6.2831853100000001E-2</v>
      </c>
      <c r="D6">
        <v>86.14</v>
      </c>
      <c r="E6">
        <f t="shared" si="1"/>
        <v>5.412335826034</v>
      </c>
    </row>
    <row r="7" spans="1:8" x14ac:dyDescent="0.25">
      <c r="A7">
        <v>0</v>
      </c>
      <c r="B7">
        <f t="shared" si="0"/>
        <v>100</v>
      </c>
      <c r="C7" s="3">
        <v>7.8539816299999995E-2</v>
      </c>
      <c r="D7">
        <v>70.680000000000007</v>
      </c>
      <c r="E7">
        <f t="shared" si="1"/>
        <v>5.5511942160840002</v>
      </c>
    </row>
    <row r="8" spans="1:8" x14ac:dyDescent="0.25">
      <c r="A8">
        <v>0</v>
      </c>
      <c r="B8">
        <f t="shared" si="0"/>
        <v>100</v>
      </c>
      <c r="C8" s="3">
        <v>9.4247779599999998E-2</v>
      </c>
      <c r="D8">
        <v>57.94</v>
      </c>
      <c r="E8">
        <f t="shared" si="1"/>
        <v>5.4607163500239997</v>
      </c>
    </row>
    <row r="9" spans="1:8" x14ac:dyDescent="0.25">
      <c r="A9">
        <v>0</v>
      </c>
      <c r="B9">
        <f t="shared" si="0"/>
        <v>100</v>
      </c>
      <c r="C9" s="3">
        <v>0.1099557429</v>
      </c>
      <c r="D9">
        <v>45.71</v>
      </c>
      <c r="E9">
        <f t="shared" si="1"/>
        <v>5.0260770079590005</v>
      </c>
    </row>
    <row r="10" spans="1:8" x14ac:dyDescent="0.25">
      <c r="A10">
        <v>0</v>
      </c>
      <c r="B10">
        <f t="shared" si="0"/>
        <v>100</v>
      </c>
      <c r="C10" s="3">
        <v>0.12566370609999999</v>
      </c>
      <c r="D10">
        <v>35.96</v>
      </c>
      <c r="E10">
        <f t="shared" si="1"/>
        <v>4.5188668713559998</v>
      </c>
    </row>
    <row r="11" spans="1:8" x14ac:dyDescent="0.25">
      <c r="A11">
        <v>0</v>
      </c>
      <c r="B11">
        <f t="shared" si="0"/>
        <v>100</v>
      </c>
      <c r="C11" s="3">
        <v>0.14137166940000001</v>
      </c>
      <c r="D11">
        <v>27.2</v>
      </c>
      <c r="E11">
        <f t="shared" si="1"/>
        <v>3.8453094076799998</v>
      </c>
    </row>
    <row r="12" spans="1:8" x14ac:dyDescent="0.25">
      <c r="A12">
        <v>0</v>
      </c>
      <c r="B12">
        <f t="shared" si="0"/>
        <v>100</v>
      </c>
      <c r="C12" s="3">
        <v>0.1570796327</v>
      </c>
      <c r="D12">
        <v>20.9</v>
      </c>
      <c r="E12">
        <f t="shared" si="1"/>
        <v>3.2829643234299999</v>
      </c>
    </row>
    <row r="13" spans="1:8" x14ac:dyDescent="0.25">
      <c r="A13">
        <v>0</v>
      </c>
      <c r="B13">
        <f t="shared" si="0"/>
        <v>100</v>
      </c>
      <c r="C13" s="3">
        <v>0.17278759590000001</v>
      </c>
      <c r="D13">
        <v>16.399999999999999</v>
      </c>
      <c r="E13">
        <f t="shared" si="1"/>
        <v>2.8337165727599993</v>
      </c>
    </row>
    <row r="14" spans="1:8" x14ac:dyDescent="0.25">
      <c r="A14">
        <v>0</v>
      </c>
      <c r="B14">
        <f t="shared" si="0"/>
        <v>100</v>
      </c>
      <c r="C14" s="3">
        <v>0.1884955592</v>
      </c>
      <c r="D14">
        <v>14.22</v>
      </c>
      <c r="E14">
        <f t="shared" si="1"/>
        <v>2.6804068518240003</v>
      </c>
    </row>
    <row r="15" spans="1:8" x14ac:dyDescent="0.25">
      <c r="A15">
        <v>0</v>
      </c>
      <c r="B15">
        <f t="shared" si="0"/>
        <v>100</v>
      </c>
      <c r="C15" s="3">
        <v>0.20420352250000001</v>
      </c>
      <c r="D15">
        <v>11.94</v>
      </c>
      <c r="E15">
        <f t="shared" si="1"/>
        <v>2.43819005865</v>
      </c>
    </row>
    <row r="16" spans="1:8" x14ac:dyDescent="0.25">
      <c r="A16">
        <v>0</v>
      </c>
      <c r="B16">
        <f t="shared" si="0"/>
        <v>100</v>
      </c>
      <c r="C16" s="3">
        <v>0.2199114858</v>
      </c>
      <c r="D16">
        <v>9.14</v>
      </c>
      <c r="E16">
        <f t="shared" si="1"/>
        <v>2.0099909802120002</v>
      </c>
    </row>
    <row r="17" spans="1:5" x14ac:dyDescent="0.25">
      <c r="A17">
        <v>0</v>
      </c>
      <c r="B17">
        <f t="shared" si="0"/>
        <v>100</v>
      </c>
      <c r="C17" s="3">
        <v>0.23561944900000001</v>
      </c>
      <c r="D17">
        <v>7.59</v>
      </c>
      <c r="E17">
        <f t="shared" si="1"/>
        <v>1.7883516179099999</v>
      </c>
    </row>
    <row r="18" spans="1:5" x14ac:dyDescent="0.25">
      <c r="A18">
        <v>0</v>
      </c>
      <c r="B18">
        <f t="shared" si="0"/>
        <v>100</v>
      </c>
      <c r="C18" s="3">
        <v>0.2513274123</v>
      </c>
      <c r="D18">
        <v>7.11</v>
      </c>
      <c r="E18">
        <f t="shared" si="1"/>
        <v>1.786937901453</v>
      </c>
    </row>
    <row r="19" spans="1:5" x14ac:dyDescent="0.25">
      <c r="A19">
        <v>0</v>
      </c>
      <c r="B19">
        <f t="shared" si="0"/>
        <v>100</v>
      </c>
      <c r="C19" s="3">
        <v>0.26703537560000001</v>
      </c>
      <c r="D19">
        <v>6.55</v>
      </c>
      <c r="E19">
        <f t="shared" si="1"/>
        <v>1.7490817101799998</v>
      </c>
    </row>
    <row r="20" spans="1:5" x14ac:dyDescent="0.25">
      <c r="A20">
        <v>0</v>
      </c>
      <c r="B20">
        <f t="shared" si="0"/>
        <v>100</v>
      </c>
      <c r="C20" s="3">
        <v>0.28274333880000002</v>
      </c>
      <c r="D20">
        <v>5.85</v>
      </c>
      <c r="E20">
        <f t="shared" si="1"/>
        <v>1.6540485319799998</v>
      </c>
    </row>
    <row r="21" spans="1:5" x14ac:dyDescent="0.25">
      <c r="A21">
        <v>0</v>
      </c>
      <c r="B21">
        <f t="shared" si="0"/>
        <v>100</v>
      </c>
      <c r="C21" s="3">
        <v>0.29845130209999998</v>
      </c>
      <c r="D21">
        <v>4.95</v>
      </c>
      <c r="E21">
        <f t="shared" si="1"/>
        <v>1.4773339453949998</v>
      </c>
    </row>
    <row r="22" spans="1:5" x14ac:dyDescent="0.25">
      <c r="A22">
        <v>0</v>
      </c>
      <c r="B22">
        <f t="shared" si="0"/>
        <v>100</v>
      </c>
      <c r="C22" s="3">
        <v>0.3141592654</v>
      </c>
      <c r="D22">
        <v>4.3099999999999996</v>
      </c>
      <c r="E22">
        <f t="shared" si="1"/>
        <v>1.354026433874</v>
      </c>
    </row>
    <row r="23" spans="1:5" x14ac:dyDescent="0.25">
      <c r="A23">
        <v>0</v>
      </c>
      <c r="B23">
        <f t="shared" si="0"/>
        <v>100</v>
      </c>
      <c r="C23" s="3">
        <v>0.32986722860000001</v>
      </c>
      <c r="D23">
        <v>3.78</v>
      </c>
      <c r="E23">
        <f t="shared" si="1"/>
        <v>1.2468981241079999</v>
      </c>
    </row>
    <row r="24" spans="1:5" x14ac:dyDescent="0.25">
      <c r="A24">
        <v>0</v>
      </c>
      <c r="B24">
        <f t="shared" si="0"/>
        <v>100</v>
      </c>
      <c r="C24" s="3">
        <v>0.34557519190000002</v>
      </c>
      <c r="D24">
        <v>3.15</v>
      </c>
      <c r="E24">
        <f t="shared" si="1"/>
        <v>1.088561854485</v>
      </c>
    </row>
    <row r="25" spans="1:5" x14ac:dyDescent="0.25">
      <c r="A25">
        <v>0</v>
      </c>
      <c r="B25">
        <f t="shared" si="0"/>
        <v>100</v>
      </c>
      <c r="C25" s="3">
        <v>0.36128315519999998</v>
      </c>
      <c r="D25">
        <v>2.4900000000000002</v>
      </c>
      <c r="E25">
        <f t="shared" si="1"/>
        <v>0.89959505644800009</v>
      </c>
    </row>
    <row r="26" spans="1:5" x14ac:dyDescent="0.25">
      <c r="A26">
        <v>0</v>
      </c>
      <c r="B26">
        <f t="shared" si="0"/>
        <v>100</v>
      </c>
      <c r="C26" s="3">
        <v>0.37699111839999999</v>
      </c>
      <c r="D26">
        <v>2.2000000000000002</v>
      </c>
      <c r="E26">
        <f t="shared" si="1"/>
        <v>0.82938046048000003</v>
      </c>
    </row>
    <row r="27" spans="1:5" x14ac:dyDescent="0.25">
      <c r="A27">
        <v>0</v>
      </c>
      <c r="B27">
        <f t="shared" si="0"/>
        <v>100</v>
      </c>
      <c r="C27" s="3">
        <v>0.39269908170000001</v>
      </c>
      <c r="D27">
        <v>1.94</v>
      </c>
      <c r="E27">
        <f t="shared" si="1"/>
        <v>0.7618362184980001</v>
      </c>
    </row>
    <row r="28" spans="1:5" x14ac:dyDescent="0.25">
      <c r="A28">
        <v>0</v>
      </c>
      <c r="B28">
        <f t="shared" si="0"/>
        <v>100</v>
      </c>
      <c r="C28" s="3">
        <v>0.40840704500000002</v>
      </c>
      <c r="D28">
        <v>1.7</v>
      </c>
      <c r="E28">
        <f t="shared" si="1"/>
        <v>0.69429197650000007</v>
      </c>
    </row>
    <row r="29" spans="1:5" x14ac:dyDescent="0.25">
      <c r="A29">
        <v>0</v>
      </c>
      <c r="B29">
        <f t="shared" si="0"/>
        <v>100</v>
      </c>
      <c r="C29" s="3">
        <v>0.42411500819999998</v>
      </c>
      <c r="D29">
        <v>1.68</v>
      </c>
      <c r="E29">
        <f t="shared" si="1"/>
        <v>0.71251321377599997</v>
      </c>
    </row>
    <row r="30" spans="1:5" x14ac:dyDescent="0.25">
      <c r="A30">
        <v>0</v>
      </c>
      <c r="B30">
        <f t="shared" si="0"/>
        <v>100</v>
      </c>
      <c r="C30" s="3">
        <v>0.43982297149999999</v>
      </c>
      <c r="D30">
        <v>1.74</v>
      </c>
      <c r="E30">
        <f t="shared" si="1"/>
        <v>0.76529197041000008</v>
      </c>
    </row>
    <row r="31" spans="1:5" x14ac:dyDescent="0.25">
      <c r="A31">
        <v>0</v>
      </c>
      <c r="B31">
        <f t="shared" si="0"/>
        <v>100</v>
      </c>
      <c r="C31" s="3">
        <v>0.45553093480000001</v>
      </c>
      <c r="D31">
        <v>1.46</v>
      </c>
      <c r="E31">
        <f t="shared" si="1"/>
        <v>0.66507516480800011</v>
      </c>
    </row>
    <row r="32" spans="1:5" x14ac:dyDescent="0.25">
      <c r="A32">
        <v>0</v>
      </c>
      <c r="B32">
        <f t="shared" si="0"/>
        <v>100</v>
      </c>
      <c r="C32" s="3">
        <v>0.47123889800000002</v>
      </c>
      <c r="D32">
        <v>1.41</v>
      </c>
      <c r="E32">
        <f t="shared" si="1"/>
        <v>0.66444684617999994</v>
      </c>
    </row>
    <row r="33" spans="1:5" x14ac:dyDescent="0.25">
      <c r="A33">
        <v>0</v>
      </c>
      <c r="B33">
        <f t="shared" si="0"/>
        <v>100</v>
      </c>
      <c r="C33" s="3">
        <v>0.48694686129999998</v>
      </c>
      <c r="D33">
        <v>1.47</v>
      </c>
      <c r="E33">
        <f t="shared" si="1"/>
        <v>0.715811886111</v>
      </c>
    </row>
    <row r="34" spans="1:5" x14ac:dyDescent="0.25">
      <c r="A34">
        <v>0</v>
      </c>
      <c r="B34">
        <f t="shared" si="0"/>
        <v>100</v>
      </c>
      <c r="C34" s="3">
        <v>0.50265482459999999</v>
      </c>
      <c r="D34">
        <v>1.5</v>
      </c>
      <c r="E34">
        <f t="shared" si="1"/>
        <v>0.7539822369000001</v>
      </c>
    </row>
    <row r="35" spans="1:5" x14ac:dyDescent="0.25">
      <c r="A35">
        <v>0</v>
      </c>
      <c r="B35">
        <f t="shared" si="0"/>
        <v>100</v>
      </c>
      <c r="C35" s="3">
        <v>0.5183627878</v>
      </c>
      <c r="D35">
        <v>1.6</v>
      </c>
      <c r="E35">
        <f t="shared" si="1"/>
        <v>0.82938046048000003</v>
      </c>
    </row>
    <row r="36" spans="1:5" x14ac:dyDescent="0.25">
      <c r="A36">
        <v>0</v>
      </c>
      <c r="B36">
        <f t="shared" si="0"/>
        <v>100</v>
      </c>
      <c r="C36" s="3">
        <v>0.53407075110000002</v>
      </c>
      <c r="D36">
        <v>1.75</v>
      </c>
      <c r="E36">
        <f t="shared" si="1"/>
        <v>0.93462381442500009</v>
      </c>
    </row>
    <row r="37" spans="1:5" x14ac:dyDescent="0.25">
      <c r="A37">
        <v>0</v>
      </c>
      <c r="B37">
        <f t="shared" si="0"/>
        <v>100</v>
      </c>
      <c r="C37" s="3">
        <v>0.54977871440000003</v>
      </c>
      <c r="D37">
        <v>1.98</v>
      </c>
      <c r="E37">
        <f t="shared" si="1"/>
        <v>1.0885618545120002</v>
      </c>
    </row>
    <row r="38" spans="1:5" x14ac:dyDescent="0.25">
      <c r="A38">
        <v>0</v>
      </c>
      <c r="B38">
        <f t="shared" si="0"/>
        <v>100</v>
      </c>
      <c r="C38" s="3">
        <v>0.56548667760000004</v>
      </c>
      <c r="D38">
        <v>2.1</v>
      </c>
      <c r="E38">
        <f t="shared" si="1"/>
        <v>1.1875220229600001</v>
      </c>
    </row>
    <row r="39" spans="1:5" x14ac:dyDescent="0.25">
      <c r="A39">
        <v>0</v>
      </c>
      <c r="B39">
        <f t="shared" si="0"/>
        <v>100</v>
      </c>
      <c r="C39" s="3">
        <v>0.58119464089999995</v>
      </c>
      <c r="D39">
        <v>2.16</v>
      </c>
      <c r="E39">
        <f t="shared" si="1"/>
        <v>1.2553804243439999</v>
      </c>
    </row>
    <row r="40" spans="1:5" x14ac:dyDescent="0.25">
      <c r="A40">
        <v>0</v>
      </c>
      <c r="B40">
        <f t="shared" si="0"/>
        <v>100</v>
      </c>
      <c r="C40" s="3">
        <v>0.59690260419999996</v>
      </c>
      <c r="D40">
        <v>2.2599999999999998</v>
      </c>
      <c r="E40">
        <f t="shared" si="1"/>
        <v>1.3489998854919998</v>
      </c>
    </row>
    <row r="41" spans="1:5" x14ac:dyDescent="0.25">
      <c r="A41">
        <v>0</v>
      </c>
      <c r="B41">
        <f t="shared" si="0"/>
        <v>100</v>
      </c>
      <c r="C41" s="3">
        <v>0.61261056749999998</v>
      </c>
      <c r="D41">
        <v>2.06</v>
      </c>
      <c r="E41">
        <f t="shared" si="1"/>
        <v>1.26197776905</v>
      </c>
    </row>
    <row r="42" spans="1:5" x14ac:dyDescent="0.25">
      <c r="A42">
        <v>0</v>
      </c>
      <c r="B42">
        <f t="shared" si="0"/>
        <v>100</v>
      </c>
      <c r="C42" s="3">
        <v>0.62831853069999999</v>
      </c>
      <c r="D42">
        <v>1.86</v>
      </c>
      <c r="E42">
        <f t="shared" si="1"/>
        <v>1.1686724671020001</v>
      </c>
    </row>
    <row r="43" spans="1:5" x14ac:dyDescent="0.25">
      <c r="A43">
        <v>0</v>
      </c>
      <c r="B43">
        <f t="shared" si="0"/>
        <v>100</v>
      </c>
      <c r="C43" s="3">
        <v>0.644026494</v>
      </c>
      <c r="D43">
        <v>1.54</v>
      </c>
      <c r="E43">
        <f t="shared" si="1"/>
        <v>0.9918008007600001</v>
      </c>
    </row>
    <row r="44" spans="1:5" x14ac:dyDescent="0.25">
      <c r="A44">
        <v>0</v>
      </c>
      <c r="B44">
        <f t="shared" si="0"/>
        <v>100</v>
      </c>
      <c r="C44" s="3">
        <v>0.65973445730000002</v>
      </c>
      <c r="D44">
        <v>1.1000000000000001</v>
      </c>
      <c r="E44">
        <f t="shared" si="1"/>
        <v>0.7257079030300001</v>
      </c>
    </row>
    <row r="45" spans="1:5" x14ac:dyDescent="0.25">
      <c r="A45">
        <v>0</v>
      </c>
      <c r="B45">
        <f t="shared" si="0"/>
        <v>100</v>
      </c>
      <c r="C45" s="3">
        <v>0.67544242050000003</v>
      </c>
      <c r="D45">
        <v>0.71</v>
      </c>
      <c r="E45">
        <f t="shared" si="1"/>
        <v>0.47956411855500003</v>
      </c>
    </row>
    <row r="46" spans="1:5" x14ac:dyDescent="0.25">
      <c r="A46">
        <v>0</v>
      </c>
      <c r="B46">
        <f t="shared" si="0"/>
        <v>100</v>
      </c>
      <c r="C46" s="3">
        <v>0.69115038380000005</v>
      </c>
      <c r="D46">
        <v>0.49</v>
      </c>
      <c r="E46">
        <f t="shared" si="1"/>
        <v>0.33866368806199998</v>
      </c>
    </row>
    <row r="47" spans="1:5" x14ac:dyDescent="0.25">
      <c r="A47">
        <v>0</v>
      </c>
      <c r="B47">
        <f t="shared" si="0"/>
        <v>100</v>
      </c>
      <c r="C47" s="3">
        <v>0.70685834709999995</v>
      </c>
      <c r="D47">
        <v>0.13</v>
      </c>
      <c r="E47">
        <f t="shared" si="1"/>
        <v>9.1891585122999983E-2</v>
      </c>
    </row>
    <row r="48" spans="1:5" x14ac:dyDescent="0.25">
      <c r="A48">
        <v>0</v>
      </c>
      <c r="B48">
        <f t="shared" si="0"/>
        <v>100</v>
      </c>
      <c r="C48" s="3">
        <v>0.72256631029999996</v>
      </c>
      <c r="D48">
        <v>0.05</v>
      </c>
      <c r="E48">
        <f t="shared" si="1"/>
        <v>3.6128315514999995E-2</v>
      </c>
    </row>
    <row r="49" spans="1:5" x14ac:dyDescent="0.25">
      <c r="A49">
        <v>0</v>
      </c>
      <c r="B49">
        <f t="shared" si="0"/>
        <v>100</v>
      </c>
      <c r="C49" s="3">
        <v>0.73827427359999998</v>
      </c>
      <c r="D49">
        <v>0.05</v>
      </c>
      <c r="E49">
        <f t="shared" si="1"/>
        <v>3.6913713680000002E-2</v>
      </c>
    </row>
    <row r="50" spans="1:5" x14ac:dyDescent="0.25">
      <c r="A50">
        <v>0</v>
      </c>
      <c r="B50">
        <f t="shared" si="0"/>
        <v>100</v>
      </c>
      <c r="C50" s="3">
        <v>0.75398223689999999</v>
      </c>
      <c r="D50">
        <v>0.05</v>
      </c>
      <c r="E50">
        <f t="shared" si="1"/>
        <v>3.7699111844999994E-2</v>
      </c>
    </row>
    <row r="51" spans="1:5" x14ac:dyDescent="0.25">
      <c r="A51">
        <v>0</v>
      </c>
      <c r="B51">
        <f t="shared" si="0"/>
        <v>100</v>
      </c>
      <c r="C51" s="3">
        <v>0.7696902001</v>
      </c>
      <c r="D51">
        <v>0.05</v>
      </c>
      <c r="E51">
        <f t="shared" si="1"/>
        <v>3.8484510005E-2</v>
      </c>
    </row>
    <row r="52" spans="1:5" x14ac:dyDescent="0.25">
      <c r="A52">
        <v>0</v>
      </c>
      <c r="B52">
        <f t="shared" si="0"/>
        <v>100</v>
      </c>
      <c r="C52" s="3">
        <v>0.78539816340000002</v>
      </c>
      <c r="D52">
        <v>0.05</v>
      </c>
      <c r="E52">
        <f t="shared" si="1"/>
        <v>3.9269908169999999E-2</v>
      </c>
    </row>
    <row r="53" spans="1:5" x14ac:dyDescent="0.25">
      <c r="A53">
        <v>0</v>
      </c>
      <c r="B53">
        <f t="shared" si="0"/>
        <v>100</v>
      </c>
      <c r="C53" s="3">
        <v>0.80110612670000003</v>
      </c>
      <c r="D53">
        <v>0.05</v>
      </c>
      <c r="E53">
        <f t="shared" si="1"/>
        <v>4.0055306335000006E-2</v>
      </c>
    </row>
    <row r="54" spans="1:5" x14ac:dyDescent="0.25">
      <c r="A54">
        <v>0</v>
      </c>
      <c r="B54">
        <f t="shared" si="0"/>
        <v>100</v>
      </c>
      <c r="C54" s="3">
        <v>0.81681408990000004</v>
      </c>
      <c r="D54">
        <v>0.05</v>
      </c>
      <c r="E54">
        <f t="shared" si="1"/>
        <v>4.0840704495000005E-2</v>
      </c>
    </row>
    <row r="55" spans="1:5" x14ac:dyDescent="0.25">
      <c r="A55">
        <v>0</v>
      </c>
      <c r="B55">
        <f t="shared" si="0"/>
        <v>100</v>
      </c>
      <c r="C55" s="3">
        <v>0.83252205319999995</v>
      </c>
      <c r="D55">
        <v>0.05</v>
      </c>
      <c r="E55">
        <f t="shared" si="1"/>
        <v>4.1626102660000004E-2</v>
      </c>
    </row>
    <row r="56" spans="1:5" x14ac:dyDescent="0.25">
      <c r="A56">
        <v>0</v>
      </c>
      <c r="B56">
        <f t="shared" si="0"/>
        <v>100</v>
      </c>
      <c r="C56" s="3">
        <v>0.84823001649999996</v>
      </c>
      <c r="D56">
        <v>0.05</v>
      </c>
      <c r="E56">
        <f t="shared" si="1"/>
        <v>4.2411500824999997E-2</v>
      </c>
    </row>
    <row r="57" spans="1:5" x14ac:dyDescent="0.25">
      <c r="A57">
        <v>0</v>
      </c>
      <c r="B57">
        <f t="shared" si="0"/>
        <v>100</v>
      </c>
      <c r="C57" s="3">
        <v>0.86393797969999997</v>
      </c>
      <c r="D57">
        <v>0.05</v>
      </c>
      <c r="E57">
        <f t="shared" si="1"/>
        <v>4.3196898985000003E-2</v>
      </c>
    </row>
    <row r="58" spans="1:5" x14ac:dyDescent="0.25">
      <c r="A58">
        <v>0</v>
      </c>
      <c r="B58">
        <f t="shared" si="0"/>
        <v>100</v>
      </c>
      <c r="C58" s="3">
        <v>0.87964594299999999</v>
      </c>
      <c r="D58">
        <v>0.05</v>
      </c>
      <c r="E58">
        <f t="shared" si="1"/>
        <v>4.3982297150000002E-2</v>
      </c>
    </row>
    <row r="59" spans="1:5" x14ac:dyDescent="0.25">
      <c r="A59">
        <v>0</v>
      </c>
      <c r="B59">
        <f t="shared" si="0"/>
        <v>100</v>
      </c>
      <c r="C59" s="3">
        <v>0.8953539063</v>
      </c>
      <c r="D59">
        <v>0.05</v>
      </c>
      <c r="E59">
        <f t="shared" si="1"/>
        <v>4.4767695314999995E-2</v>
      </c>
    </row>
    <row r="60" spans="1:5" x14ac:dyDescent="0.25">
      <c r="A60">
        <v>0</v>
      </c>
      <c r="B60">
        <f t="shared" si="0"/>
        <v>100</v>
      </c>
      <c r="C60" s="3">
        <v>0.91106186950000001</v>
      </c>
      <c r="D60">
        <v>0.05</v>
      </c>
      <c r="E60">
        <f t="shared" si="1"/>
        <v>4.5553093475000001E-2</v>
      </c>
    </row>
    <row r="61" spans="1:5" x14ac:dyDescent="0.25">
      <c r="A61">
        <v>0</v>
      </c>
      <c r="B61">
        <f>100-(100*A61/255)</f>
        <v>100</v>
      </c>
      <c r="C61" s="3">
        <v>0.91106186950000001</v>
      </c>
      <c r="D61">
        <v>0.05</v>
      </c>
      <c r="E61">
        <f t="shared" ref="E61" si="2">(B61*C61*D61)/100</f>
        <v>4.5553093475000001E-2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>
    <row r="1" spans="1:1" x14ac:dyDescent="0.25">
      <c r="A1" t="s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"/>
    </sheetView>
  </sheetViews>
  <sheetFormatPr baseColWidth="10" defaultRowHeight="15" x14ac:dyDescent="0.25"/>
  <sheetData>
    <row r="1" spans="1:1" x14ac:dyDescent="0.25">
      <c r="A1" t="s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GAWAIN</vt:lpstr>
      <vt:lpstr>low-luminance GAWAIN</vt:lpstr>
      <vt:lpstr>reading performance GAWAIN</vt:lpstr>
    </vt:vector>
  </TitlesOfParts>
  <Company>Uniklinik Bonn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der Emde, Dr. Leon</dc:creator>
  <cp:lastModifiedBy>von der Emde, Dr. Leon</cp:lastModifiedBy>
  <dcterms:created xsi:type="dcterms:W3CDTF">2025-12-15T12:14:53Z</dcterms:created>
  <dcterms:modified xsi:type="dcterms:W3CDTF">2025-12-15T13:23:50Z</dcterms:modified>
</cp:coreProperties>
</file>